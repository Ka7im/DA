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71b4180a4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рицы" sheetId="1" r:id="R6363a34c8b5e4ca0"/>
    <x:sheet xmlns:r="http://schemas.openxmlformats.org/officeDocument/2006/relationships" name="Наблюдения" sheetId="2" r:id="Rd7c4138c7fbf44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7">
    <x:font>
      <x:sz val="11"/>
      <x:name val="Carlito"/>
    </x:font>
    <x:font>
      <x:sz val="11"/>
      <x:color rgb="FF182533"/>
      <x:name val="Arial"/>
    </x:font>
    <x:font>
      <x:b/>
      <x:sz val="11"/>
      <x:color rgb="FFFFFFFF"/>
      <x:name val="Arial"/>
    </x:font>
    <x:font>
      <x:b/>
      <x:sz val="11"/>
      <x:color rgb="FF182533"/>
      <x:name val="Arial"/>
    </x:font>
    <x:font>
      <x:sz val="10"/>
      <x:color rgb="FF182533"/>
      <x:name val="Arial"/>
    </x:font>
    <x:font>
      <x:b/>
      <x:sz val="16"/>
      <x:color rgb="FF000000"/>
      <x:name val="Arial"/>
    </x:font>
    <x:font>
      <x:sz val="11"/>
      <x:color rgb="FF77859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D59"/>
      </x:patternFill>
    </x:fill>
    <x:fill>
      <x:patternFill patternType="solid">
        <x:fgColor rgb="FFFFF3D8"/>
      </x:patternFill>
    </x:fill>
    <x:fill>
      <x:patternFill patternType="solid">
        <x:fgColor rgb="FFF1F4F8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5DEE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3" fillId="0" borderId="4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0" fontId="3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6" fillId="4" borderId="0" xfId="0" applyNumberFormat="1" applyFont="1" applyFill="1" applyBorder="1" applyAlignment="1">
      <x:alignment horizontal="right" vertical="center"/>
    </x:xf>
    <x:xf numFmtId="0" fontId="3" fillId="4" borderId="4" xfId="0" applyNumberFormat="1" applyFont="1" applyFill="1" applyBorder="1" applyAlignment="1">
      <x:alignment vertical="center"/>
    </x:xf>
    <x:xf numFmtId="200" fontId="1" fillId="4" borderId="4" xfId="0" applyNumberFormat="1" applyFont="1" applyFill="1" applyBorder="1" applyAlignment="1">
      <x:alignment horizontal="right" vertical="center"/>
    </x:xf>
    <x:xf numFmtId="200" fontId="6" fillId="4" borderId="4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6" fillId="4" borderId="0" xfId="0" applyNumberFormat="1" applyFont="1" applyFill="1" applyBorder="1" applyAlignment="1">
      <x:alignment horizontal="right" vertical="center"/>
    </x:xf>
    <x:xf numFmtId="201" fontId="1" fillId="4" borderId="4" xfId="0" applyNumberFormat="1" applyFont="1" applyFill="1" applyBorder="1" applyAlignment="1">
      <x:alignment horizontal="right" vertical="center"/>
    </x:xf>
    <x:xf numFmtId="201" fontId="6" fillId="4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a8c03b16a446e" /><Relationship Type="http://schemas.openxmlformats.org/officeDocument/2006/relationships/theme" Target="/xl/theme/theme1.xml" Id="R230cf2d0a8064b00" /><Relationship Type="http://schemas.openxmlformats.org/officeDocument/2006/relationships/sharedStrings" Target="/xl/sharedStrings.xml" Id="R1be8148c6dc748e9" /><Relationship Type="http://schemas.openxmlformats.org/officeDocument/2006/relationships/worksheet" Target="/xl/worksheets/sheet1.xml" Id="R6363a34c8b5e4ca0" /><Relationship Type="http://schemas.openxmlformats.org/officeDocument/2006/relationships/worksheet" Target="/xl/worksheets/sheet2.xml" Id="Rd7c4138c7fbf44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3D59"/>
  </x:sheetPr>
  <x:sheetViews>
    <x:sheetView showGridLines="0" workbookViewId="0"/>
  </x:sheetViews>
  <x:sheetFormatPr defaultRowHeight="15"/>
  <x:cols>
    <x:col min="1" max="1" width="2.5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2" ht="32" customHeight="1">
      <x:c r="B2" s="19" t="str">
        <x:v>Работа 1 Матрица расстояний</x:v>
      </x:c>
      <x:c r="C2" s="20"/>
      <x:c r="D2" s="20"/>
      <x:c r="E2" s="20"/>
      <x:c r="F2" s="20"/>
      <x:c r="G2" s="20"/>
      <x:c r="H2" s="20"/>
      <x:c r="I2" s="20"/>
      <x:c r="J2" s="20"/>
    </x:row>
    <x:row r="3" ht="23" customHeight="1">
      <x:c r="B3" s="17" t="str">
        <x:v>8 наблюдений, 2 признака. Строка и столбец задают пару объектов.</x:v>
      </x:c>
      <x:c r="C3" s="17"/>
      <x:c r="D3" s="17"/>
      <x:c r="E3" s="17"/>
      <x:c r="F3" s="17"/>
      <x:c r="G3" s="17"/>
      <x:c r="H3" s="17"/>
      <x:c r="I3" s="17"/>
      <x:c r="J3" s="17"/>
    </x:row>
    <x:row r="4" ht="23" customHeight="1"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B5" s="11" t="str">
        <x:v>Манхэттенское расстояние</x:v>
      </x:c>
      <x:c r="C5" s="2"/>
      <x:c r="D5" s="2"/>
      <x:c r="E5" s="2"/>
      <x:c r="F5" s="2"/>
      <x:c r="G5" s="2"/>
      <x:c r="H5" s="2"/>
      <x:c r="I5" s="2"/>
      <x:c r="J5" s="2"/>
    </x:row>
    <x:row r="6" ht="26" customHeight="1">
      <x:c r="B6" s="8" t="str">
        <x:v>Объект</x:v>
      </x:c>
      <x:c r="C6" s="9" t="str">
        <x:v>P1</x:v>
      </x:c>
      <x:c r="D6" s="9" t="str">
        <x:v>P2</x:v>
      </x:c>
      <x:c r="E6" s="9" t="str">
        <x:v>P3</x:v>
      </x:c>
      <x:c r="F6" s="9" t="str">
        <x:v>P4</x:v>
      </x:c>
      <x:c r="G6" s="9" t="str">
        <x:v>P5</x:v>
      </x:c>
      <x:c r="H6" s="9" t="str">
        <x:v>P6</x:v>
      </x:c>
      <x:c r="I6" s="9" t="str">
        <x:v>P7</x:v>
      </x:c>
      <x:c r="J6" s="10" t="str">
        <x:v>P8</x:v>
      </x:c>
    </x:row>
    <x:row r="7" ht="23" customHeight="1">
      <x:c r="B7" s="11" t="str">
        <x:v>P1</x:v>
      </x:c>
      <x:c r="C7" s="23" t="n">
        <x:f>IF(COUNT('Наблюдения'!B2:C2,'Наблюдения'!B2:C2)=4,ABS('Наблюдения'!B2-'Наблюдения'!B2)+ABS('Наблюдения'!C2-'Наблюдения'!C2),NA())</x:f>
        <x:v>0</x:v>
      </x:c>
      <x:c r="D7" s="22" t="n">
        <x:f>IF(COUNT('Наблюдения'!B2:C2,'Наблюдения'!B3:C3)=4,ABS('Наблюдения'!B2-'Наблюдения'!B3)+ABS('Наблюдения'!C2-'Наблюдения'!C3),NA())</x:f>
        <x:v>20</x:v>
      </x:c>
      <x:c r="E7" s="22" t="n">
        <x:f>IF(COUNT('Наблюдения'!B2:C2,'Наблюдения'!B4:C4)=4,ABS('Наблюдения'!B2-'Наблюдения'!B4)+ABS('Наблюдения'!C2-'Наблюдения'!C4),NA())</x:f>
        <x:v>23</x:v>
      </x:c>
      <x:c r="F7" s="22" t="n">
        <x:f>IF(COUNT('Наблюдения'!B2:C2,'Наблюдения'!B5:C5)=4,ABS('Наблюдения'!B2-'Наблюдения'!B5)+ABS('Наблюдения'!C2-'Наблюдения'!C5),NA())</x:f>
        <x:v>15</x:v>
      </x:c>
      <x:c r="G7" s="22" t="n">
        <x:f>IF(COUNT('Наблюдения'!B2:C2,'Наблюдения'!B6:C6)=4,ABS('Наблюдения'!B2-'Наблюдения'!B6)+ABS('Наблюдения'!C2-'Наблюдения'!C6),NA())</x:f>
        <x:v>15</x:v>
      </x:c>
      <x:c r="H7" s="22" t="n">
        <x:f>IF(COUNT('Наблюдения'!B2:C2,'Наблюдения'!B7:C7)=4,ABS('Наблюдения'!B2-'Наблюдения'!B7)+ABS('Наблюдения'!C2-'Наблюдения'!C7),NA())</x:f>
        <x:v>12</x:v>
      </x:c>
      <x:c r="I7" s="22" t="n">
        <x:f>IF(COUNT('Наблюдения'!B2:C2,'Наблюдения'!B8:C8)=4,ABS('Наблюдения'!B2-'Наблюдения'!B8)+ABS('Наблюдения'!C2-'Наблюдения'!C8),NA())</x:f>
        <x:v>13</x:v>
      </x:c>
      <x:c r="J7" s="22" t="n">
        <x:f>IF(COUNT('Наблюдения'!B2:C2,'Наблюдения'!B9:C9)=4,ABS('Наблюдения'!B2-'Наблюдения'!B9)+ABS('Наблюдения'!C2-'Наблюдения'!C9),NA())</x:f>
        <x:v>30</x:v>
      </x:c>
    </x:row>
    <x:row r="8" ht="23" customHeight="1">
      <x:c r="B8" s="24" t="str">
        <x:v>P2</x:v>
      </x:c>
      <x:c r="C8" s="25" t="n">
        <x:f>IF(COUNT('Наблюдения'!B3:C3,'Наблюдения'!B2:C2)=4,ABS('Наблюдения'!B3-'Наблюдения'!B2)+ABS('Наблюдения'!C3-'Наблюдения'!C2),NA())</x:f>
        <x:v>20</x:v>
      </x:c>
      <x:c r="D8" s="26" t="n">
        <x:f>IF(COUNT('Наблюдения'!B3:C3,'Наблюдения'!B3:C3)=4,ABS('Наблюдения'!B3-'Наблюдения'!B3)+ABS('Наблюдения'!C3-'Наблюдения'!C3),NA())</x:f>
        <x:v>0</x:v>
      </x:c>
      <x:c r="E8" s="25" t="n">
        <x:f>IF(COUNT('Наблюдения'!B3:C3,'Наблюдения'!B4:C4)=4,ABS('Наблюдения'!B3-'Наблюдения'!B4)+ABS('Наблюдения'!C3-'Наблюдения'!C4),NA())</x:f>
        <x:v>19</x:v>
      </x:c>
      <x:c r="F8" s="25" t="n">
        <x:f>IF(COUNT('Наблюдения'!B3:C3,'Наблюдения'!B5:C5)=4,ABS('Наблюдения'!B3-'Наблюдения'!B5)+ABS('Наблюдения'!C3-'Наблюдения'!C5),NA())</x:f>
        <x:v>23</x:v>
      </x:c>
      <x:c r="G8" s="25" t="n">
        <x:f>IF(COUNT('Наблюдения'!B3:C3,'Наблюдения'!B6:C6)=4,ABS('Наблюдения'!B3-'Наблюдения'!B6)+ABS('Наблюдения'!C3-'Наблюдения'!C6),NA())</x:f>
        <x:v>11</x:v>
      </x:c>
      <x:c r="H8" s="25" t="n">
        <x:f>IF(COUNT('Наблюдения'!B3:C3,'Наблюдения'!B7:C7)=4,ABS('Наблюдения'!B3-'Наблюдения'!B7)+ABS('Наблюдения'!C3-'Наблюдения'!C7),NA())</x:f>
        <x:v>16</x:v>
      </x:c>
      <x:c r="I8" s="25" t="n">
        <x:f>IF(COUNT('Наблюдения'!B3:C3,'Наблюдения'!B8:C8)=4,ABS('Наблюдения'!B3-'Наблюдения'!B8)+ABS('Наблюдения'!C3-'Наблюдения'!C8),NA())</x:f>
        <x:v>7</x:v>
      </x:c>
      <x:c r="J8" s="25" t="n">
        <x:f>IF(COUNT('Наблюдения'!B3:C3,'Наблюдения'!B9:C9)=4,ABS('Наблюдения'!B3-'Наблюдения'!B9)+ABS('Наблюдения'!C3-'Наблюдения'!C9),NA())</x:f>
        <x:v>12</x:v>
      </x:c>
    </x:row>
    <x:row r="9" ht="23" customHeight="1">
      <x:c r="B9" s="11" t="str">
        <x:v>P3</x:v>
      </x:c>
      <x:c r="C9" s="22" t="n">
        <x:f>IF(COUNT('Наблюдения'!B4:C4,'Наблюдения'!B2:C2)=4,ABS('Наблюдения'!B4-'Наблюдения'!B2)+ABS('Наблюдения'!C4-'Наблюдения'!C2),NA())</x:f>
        <x:v>23</x:v>
      </x:c>
      <x:c r="D9" s="22" t="n">
        <x:f>IF(COUNT('Наблюдения'!B4:C4,'Наблюдения'!B3:C3)=4,ABS('Наблюдения'!B4-'Наблюдения'!B3)+ABS('Наблюдения'!C4-'Наблюдения'!C3),NA())</x:f>
        <x:v>19</x:v>
      </x:c>
      <x:c r="E9" s="23" t="n">
        <x:f>IF(COUNT('Наблюдения'!B4:C4,'Наблюдения'!B4:C4)=4,ABS('Наблюдения'!B4-'Наблюдения'!B4)+ABS('Наблюдения'!C4-'Наблюдения'!C4),NA())</x:f>
        <x:v>0</x:v>
      </x:c>
      <x:c r="F9" s="22" t="n">
        <x:f>IF(COUNT('Наблюдения'!B4:C4,'Наблюдения'!B5:C5)=4,ABS('Наблюдения'!B4-'Наблюдения'!B5)+ABS('Наблюдения'!C4-'Наблюдения'!C5),NA())</x:f>
        <x:v>18</x:v>
      </x:c>
      <x:c r="G9" s="22" t="n">
        <x:f>IF(COUNT('Наблюдения'!B4:C4,'Наблюдения'!B6:C6)=4,ABS('Наблюдения'!B4-'Наблюдения'!B6)+ABS('Наблюдения'!C4-'Наблюдения'!C6),NA())</x:f>
        <x:v>8</x:v>
      </x:c>
      <x:c r="H9" s="22" t="n">
        <x:f>IF(COUNT('Наблюдения'!B4:C4,'Наблюдения'!B7:C7)=4,ABS('Наблюдения'!B4-'Наблюдения'!B7)+ABS('Наблюдения'!C4-'Наблюдения'!C7),NA())</x:f>
        <x:v>35</x:v>
      </x:c>
      <x:c r="I9" s="22" t="n">
        <x:f>IF(COUNT('Наблюдения'!B4:C4,'Наблюдения'!B8:C8)=4,ABS('Наблюдения'!B4-'Наблюдения'!B8)+ABS('Наблюдения'!C4-'Наблюдения'!C8),NA())</x:f>
        <x:v>18</x:v>
      </x:c>
      <x:c r="J9" s="22" t="n">
        <x:f>IF(COUNT('Наблюдения'!B4:C4,'Наблюдения'!B9:C9)=4,ABS('Наблюдения'!B4-'Наблюдения'!B9)+ABS('Наблюдения'!C4-'Наблюдения'!C9),NA())</x:f>
        <x:v>15</x:v>
      </x:c>
    </x:row>
    <x:row r="10" ht="23" customHeight="1">
      <x:c r="B10" s="24" t="str">
        <x:v>P4</x:v>
      </x:c>
      <x:c r="C10" s="25" t="n">
        <x:f>IF(COUNT('Наблюдения'!B5:C5,'Наблюдения'!B2:C2)=4,ABS('Наблюдения'!B5-'Наблюдения'!B2)+ABS('Наблюдения'!C5-'Наблюдения'!C2),NA())</x:f>
        <x:v>15</x:v>
      </x:c>
      <x:c r="D10" s="25" t="n">
        <x:f>IF(COUNT('Наблюдения'!B5:C5,'Наблюдения'!B3:C3)=4,ABS('Наблюдения'!B5-'Наблюдения'!B3)+ABS('Наблюдения'!C5-'Наблюдения'!C3),NA())</x:f>
        <x:v>23</x:v>
      </x:c>
      <x:c r="E10" s="25" t="n">
        <x:f>IF(COUNT('Наблюдения'!B5:C5,'Наблюдения'!B4:C4)=4,ABS('Наблюдения'!B5-'Наблюдения'!B4)+ABS('Наблюдения'!C5-'Наблюдения'!C4),NA())</x:f>
        <x:v>18</x:v>
      </x:c>
      <x:c r="F10" s="26" t="n">
        <x:f>IF(COUNT('Наблюдения'!B5:C5,'Наблюдения'!B5:C5)=4,ABS('Наблюдения'!B5-'Наблюдения'!B5)+ABS('Наблюдения'!C5-'Наблюдения'!C5),NA())</x:f>
        <x:v>0</x:v>
      </x:c>
      <x:c r="G10" s="25" t="n">
        <x:f>IF(COUNT('Наблюдения'!B5:C5,'Наблюдения'!B6:C6)=4,ABS('Наблюдения'!B5-'Наблюдения'!B6)+ABS('Наблюдения'!C5-'Наблюдения'!C6),NA())</x:f>
        <x:v>18</x:v>
      </x:c>
      <x:c r="H10" s="25" t="n">
        <x:f>IF(COUNT('Наблюдения'!B5:C5,'Наблюдения'!B7:C7)=4,ABS('Наблюдения'!B5-'Наблюдения'!B7)+ABS('Наблюдения'!C5-'Наблюдения'!C7),NA())</x:f>
        <x:v>27</x:v>
      </x:c>
      <x:c r="I10" s="25" t="n">
        <x:f>IF(COUNT('Наблюдения'!B5:C5,'Наблюдения'!B8:C8)=4,ABS('Наблюдения'!B5-'Наблюдения'!B8)+ABS('Наблюдения'!C5-'Наблюдения'!C8),NA())</x:f>
        <x:v>16</x:v>
      </x:c>
      <x:c r="J10" s="25" t="n">
        <x:f>IF(COUNT('Наблюдения'!B5:C5,'Наблюдения'!B9:C9)=4,ABS('Наблюдения'!B5-'Наблюдения'!B9)+ABS('Наблюдения'!C5-'Наблюдения'!C9),NA())</x:f>
        <x:v>33</x:v>
      </x:c>
    </x:row>
    <x:row r="11" ht="23" customHeight="1">
      <x:c r="B11" s="11" t="str">
        <x:v>P5</x:v>
      </x:c>
      <x:c r="C11" s="22" t="n">
        <x:f>IF(COUNT('Наблюдения'!B6:C6,'Наблюдения'!B2:C2)=4,ABS('Наблюдения'!B6-'Наблюдения'!B2)+ABS('Наблюдения'!C6-'Наблюдения'!C2),NA())</x:f>
        <x:v>15</x:v>
      </x:c>
      <x:c r="D11" s="22" t="n">
        <x:f>IF(COUNT('Наблюдения'!B6:C6,'Наблюдения'!B3:C3)=4,ABS('Наблюдения'!B6-'Наблюдения'!B3)+ABS('Наблюдения'!C6-'Наблюдения'!C3),NA())</x:f>
        <x:v>11</x:v>
      </x:c>
      <x:c r="E11" s="22" t="n">
        <x:f>IF(COUNT('Наблюдения'!B6:C6,'Наблюдения'!B4:C4)=4,ABS('Наблюдения'!B6-'Наблюдения'!B4)+ABS('Наблюдения'!C6-'Наблюдения'!C4),NA())</x:f>
        <x:v>8</x:v>
      </x:c>
      <x:c r="F11" s="22" t="n">
        <x:f>IF(COUNT('Наблюдения'!B6:C6,'Наблюдения'!B5:C5)=4,ABS('Наблюдения'!B6-'Наблюдения'!B5)+ABS('Наблюдения'!C6-'Наблюдения'!C5),NA())</x:f>
        <x:v>18</x:v>
      </x:c>
      <x:c r="G11" s="23" t="n">
        <x:f>IF(COUNT('Наблюдения'!B6:C6,'Наблюдения'!B6:C6)=4,ABS('Наблюдения'!B6-'Наблюдения'!B6)+ABS('Наблюдения'!C6-'Наблюдения'!C6),NA())</x:f>
        <x:v>0</x:v>
      </x:c>
      <x:c r="H11" s="22" t="n">
        <x:f>IF(COUNT('Наблюдения'!B6:C6,'Наблюдения'!B7:C7)=4,ABS('Наблюдения'!B6-'Наблюдения'!B7)+ABS('Наблюдения'!C6-'Наблюдения'!C7),NA())</x:f>
        <x:v>27</x:v>
      </x:c>
      <x:c r="I11" s="22" t="n">
        <x:f>IF(COUNT('Наблюдения'!B6:C6,'Наблюдения'!B8:C8)=4,ABS('Наблюдения'!B6-'Наблюдения'!B8)+ABS('Наблюдения'!C6-'Наблюдения'!C8),NA())</x:f>
        <x:v>10</x:v>
      </x:c>
      <x:c r="J11" s="22" t="n">
        <x:f>IF(COUNT('Наблюдения'!B6:C6,'Наблюдения'!B9:C9)=4,ABS('Наблюдения'!B6-'Наблюдения'!B9)+ABS('Наблюдения'!C6-'Наблюдения'!C9),NA())</x:f>
        <x:v>15</x:v>
      </x:c>
    </x:row>
    <x:row r="12" ht="23" customHeight="1">
      <x:c r="B12" s="24" t="str">
        <x:v>P6</x:v>
      </x:c>
      <x:c r="C12" s="25" t="n">
        <x:f>IF(COUNT('Наблюдения'!B7:C7,'Наблюдения'!B2:C2)=4,ABS('Наблюдения'!B7-'Наблюдения'!B2)+ABS('Наблюдения'!C7-'Наблюдения'!C2),NA())</x:f>
        <x:v>12</x:v>
      </x:c>
      <x:c r="D12" s="25" t="n">
        <x:f>IF(COUNT('Наблюдения'!B7:C7,'Наблюдения'!B3:C3)=4,ABS('Наблюдения'!B7-'Наблюдения'!B3)+ABS('Наблюдения'!C7-'Наблюдения'!C3),NA())</x:f>
        <x:v>16</x:v>
      </x:c>
      <x:c r="E12" s="25" t="n">
        <x:f>IF(COUNT('Наблюдения'!B7:C7,'Наблюдения'!B4:C4)=4,ABS('Наблюдения'!B7-'Наблюдения'!B4)+ABS('Наблюдения'!C7-'Наблюдения'!C4),NA())</x:f>
        <x:v>35</x:v>
      </x:c>
      <x:c r="F12" s="25" t="n">
        <x:f>IF(COUNT('Наблюдения'!B7:C7,'Наблюдения'!B5:C5)=4,ABS('Наблюдения'!B7-'Наблюдения'!B5)+ABS('Наблюдения'!C7-'Наблюдения'!C5),NA())</x:f>
        <x:v>27</x:v>
      </x:c>
      <x:c r="G12" s="25" t="n">
        <x:f>IF(COUNT('Наблюдения'!B7:C7,'Наблюдения'!B6:C6)=4,ABS('Наблюдения'!B7-'Наблюдения'!B6)+ABS('Наблюдения'!C7-'Наблюдения'!C6),NA())</x:f>
        <x:v>27</x:v>
      </x:c>
      <x:c r="H12" s="26" t="n">
        <x:f>IF(COUNT('Наблюдения'!B7:C7,'Наблюдения'!B7:C7)=4,ABS('Наблюдения'!B7-'Наблюдения'!B7)+ABS('Наблюдения'!C7-'Наблюдения'!C7),NA())</x:f>
        <x:v>0</x:v>
      </x:c>
      <x:c r="I12" s="25" t="n">
        <x:f>IF(COUNT('Наблюдения'!B7:C7,'Наблюдения'!B8:C8)=4,ABS('Наблюдения'!B7-'Наблюдения'!B8)+ABS('Наблюдения'!C7-'Наблюдения'!C8),NA())</x:f>
        <x:v>17</x:v>
      </x:c>
      <x:c r="J12" s="25" t="n">
        <x:f>IF(COUNT('Наблюдения'!B7:C7,'Наблюдения'!B9:C9)=4,ABS('Наблюдения'!B7-'Наблюдения'!B9)+ABS('Наблюдения'!C7-'Наблюдения'!C9),NA())</x:f>
        <x:v>28</x:v>
      </x:c>
    </x:row>
    <x:row r="13" ht="23" customHeight="1">
      <x:c r="B13" s="11" t="str">
        <x:v>P7</x:v>
      </x:c>
      <x:c r="C13" s="22" t="n">
        <x:f>IF(COUNT('Наблюдения'!B8:C8,'Наблюдения'!B2:C2)=4,ABS('Наблюдения'!B8-'Наблюдения'!B2)+ABS('Наблюдения'!C8-'Наблюдения'!C2),NA())</x:f>
        <x:v>13</x:v>
      </x:c>
      <x:c r="D13" s="22" t="n">
        <x:f>IF(COUNT('Наблюдения'!B8:C8,'Наблюдения'!B3:C3)=4,ABS('Наблюдения'!B8-'Наблюдения'!B3)+ABS('Наблюдения'!C8-'Наблюдения'!C3),NA())</x:f>
        <x:v>7</x:v>
      </x:c>
      <x:c r="E13" s="22" t="n">
        <x:f>IF(COUNT('Наблюдения'!B8:C8,'Наблюдения'!B4:C4)=4,ABS('Наблюдения'!B8-'Наблюдения'!B4)+ABS('Наблюдения'!C8-'Наблюдения'!C4),NA())</x:f>
        <x:v>18</x:v>
      </x:c>
      <x:c r="F13" s="22" t="n">
        <x:f>IF(COUNT('Наблюдения'!B8:C8,'Наблюдения'!B5:C5)=4,ABS('Наблюдения'!B8-'Наблюдения'!B5)+ABS('Наблюдения'!C8-'Наблюдения'!C5),NA())</x:f>
        <x:v>16</x:v>
      </x:c>
      <x:c r="G13" s="22" t="n">
        <x:f>IF(COUNT('Наблюдения'!B8:C8,'Наблюдения'!B6:C6)=4,ABS('Наблюдения'!B8-'Наблюдения'!B6)+ABS('Наблюдения'!C8-'Наблюдения'!C6),NA())</x:f>
        <x:v>10</x:v>
      </x:c>
      <x:c r="H13" s="22" t="n">
        <x:f>IF(COUNT('Наблюдения'!B8:C8,'Наблюдения'!B7:C7)=4,ABS('Наблюдения'!B8-'Наблюдения'!B7)+ABS('Наблюдения'!C8-'Наблюдения'!C7),NA())</x:f>
        <x:v>17</x:v>
      </x:c>
      <x:c r="I13" s="23" t="n">
        <x:f>IF(COUNT('Наблюдения'!B8:C8,'Наблюдения'!B8:C8)=4,ABS('Наблюдения'!B8-'Наблюдения'!B8)+ABS('Наблюдения'!C8-'Наблюдения'!C8),NA())</x:f>
        <x:v>0</x:v>
      </x:c>
      <x:c r="J13" s="22" t="n">
        <x:f>IF(COUNT('Наблюдения'!B8:C8,'Наблюдения'!B9:C9)=4,ABS('Наблюдения'!B8-'Наблюдения'!B9)+ABS('Наблюдения'!C8-'Наблюдения'!C9),NA())</x:f>
        <x:v>17</x:v>
      </x:c>
    </x:row>
    <x:row r="14" ht="23" customHeight="1">
      <x:c r="B14" s="27" t="str">
        <x:v>P8</x:v>
      </x:c>
      <x:c r="C14" s="28" t="n">
        <x:f>IF(COUNT('Наблюдения'!B9:C9,'Наблюдения'!B2:C2)=4,ABS('Наблюдения'!B9-'Наблюдения'!B2)+ABS('Наблюдения'!C9-'Наблюдения'!C2),NA())</x:f>
        <x:v>30</x:v>
      </x:c>
      <x:c r="D14" s="28" t="n">
        <x:f>IF(COUNT('Наблюдения'!B9:C9,'Наблюдения'!B3:C3)=4,ABS('Наблюдения'!B9-'Наблюдения'!B3)+ABS('Наблюдения'!C9-'Наблюдения'!C3),NA())</x:f>
        <x:v>12</x:v>
      </x:c>
      <x:c r="E14" s="28" t="n">
        <x:f>IF(COUNT('Наблюдения'!B9:C9,'Наблюдения'!B4:C4)=4,ABS('Наблюдения'!B9-'Наблюдения'!B4)+ABS('Наблюдения'!C9-'Наблюдения'!C4),NA())</x:f>
        <x:v>15</x:v>
      </x:c>
      <x:c r="F14" s="28" t="n">
        <x:f>IF(COUNT('Наблюдения'!B9:C9,'Наблюдения'!B5:C5)=4,ABS('Наблюдения'!B9-'Наблюдения'!B5)+ABS('Наблюдения'!C9-'Наблюдения'!C5),NA())</x:f>
        <x:v>33</x:v>
      </x:c>
      <x:c r="G14" s="28" t="n">
        <x:f>IF(COUNT('Наблюдения'!B9:C9,'Наблюдения'!B6:C6)=4,ABS('Наблюдения'!B9-'Наблюдения'!B6)+ABS('Наблюдения'!C9-'Наблюдения'!C6),NA())</x:f>
        <x:v>15</x:v>
      </x:c>
      <x:c r="H14" s="28" t="n">
        <x:f>IF(COUNT('Наблюдения'!B9:C9,'Наблюдения'!B7:C7)=4,ABS('Наблюдения'!B9-'Наблюдения'!B7)+ABS('Наблюдения'!C9-'Наблюдения'!C7),NA())</x:f>
        <x:v>28</x:v>
      </x:c>
      <x:c r="I14" s="28" t="n">
        <x:f>IF(COUNT('Наблюдения'!B9:C9,'Наблюдения'!B8:C8)=4,ABS('Наблюдения'!B9-'Наблюдения'!B8)+ABS('Наблюдения'!C9-'Наблюдения'!C8),NA())</x:f>
        <x:v>17</x:v>
      </x:c>
      <x:c r="J14" s="29" t="n">
        <x:f>IF(COUNT('Наблюдения'!B9:C9,'Наблюдения'!B9:C9)=4,ABS('Наблюдения'!B9-'Наблюдения'!B9)+ABS('Наблюдения'!C9-'Наблюдения'!C9),NA())</x:f>
        <x:v>0</x:v>
      </x:c>
    </x:row>
    <x:row r="15" ht="23" customHeight="1"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B17" s="11" t="str">
        <x:v>Расстояние Хэмминга</x:v>
      </x:c>
      <x:c r="C17" s="2"/>
      <x:c r="D17" s="2"/>
      <x:c r="E17" s="2"/>
      <x:c r="F17" s="2"/>
      <x:c r="G17" s="2"/>
      <x:c r="H17" s="2"/>
      <x:c r="I17" s="2"/>
      <x:c r="J17" s="2"/>
    </x:row>
    <x:row r="18" ht="26" customHeight="1">
      <x:c r="B18" s="8" t="str">
        <x:v>Объект</x:v>
      </x:c>
      <x:c r="C18" s="9" t="str">
        <x:v>P1</x:v>
      </x:c>
      <x:c r="D18" s="9" t="str">
        <x:v>P2</x:v>
      </x:c>
      <x:c r="E18" s="9" t="str">
        <x:v>P3</x:v>
      </x:c>
      <x:c r="F18" s="9" t="str">
        <x:v>P4</x:v>
      </x:c>
      <x:c r="G18" s="9" t="str">
        <x:v>P5</x:v>
      </x:c>
      <x:c r="H18" s="9" t="str">
        <x:v>P6</x:v>
      </x:c>
      <x:c r="I18" s="9" t="str">
        <x:v>P7</x:v>
      </x:c>
      <x:c r="J18" s="10" t="str">
        <x:v>P8</x:v>
      </x:c>
    </x:row>
    <x:row r="19" ht="23" customHeight="1">
      <x:c r="B19" s="11" t="str">
        <x:v>P1</x:v>
      </x:c>
      <x:c r="C19" s="23" t="n">
        <x:f>IF(COUNT('Наблюдения'!B2:C2,'Наблюдения'!B2:C2)=4,IF('Наблюдения'!B2&lt;&gt;'Наблюдения'!B2,1,0)+IF('Наблюдения'!C2&lt;&gt;'Наблюдения'!C2,1,0),NA())</x:f>
        <x:v>0</x:v>
      </x:c>
      <x:c r="D19" s="22" t="n">
        <x:f>IF(COUNT('Наблюдения'!B2:C2,'Наблюдения'!B3:C3)=4,IF('Наблюдения'!B2&lt;&gt;'Наблюдения'!B3,1,0)+IF('Наблюдения'!C2&lt;&gt;'Наблюдения'!C3,1,0),NA())</x:f>
        <x:v>2</x:v>
      </x:c>
      <x:c r="E19" s="22" t="n">
        <x:f>IF(COUNT('Наблюдения'!B2:C2,'Наблюдения'!B4:C4)=4,IF('Наблюдения'!B2&lt;&gt;'Наблюдения'!B4,1,0)+IF('Наблюдения'!C2&lt;&gt;'Наблюдения'!C4,1,0),NA())</x:f>
        <x:v>2</x:v>
      </x:c>
      <x:c r="F19" s="22" t="n">
        <x:f>IF(COUNT('Наблюдения'!B2:C2,'Наблюдения'!B5:C5)=4,IF('Наблюдения'!B2&lt;&gt;'Наблюдения'!B5,1,0)+IF('Наблюдения'!C2&lt;&gt;'Наблюдения'!C5,1,0),NA())</x:f>
        <x:v>2</x:v>
      </x:c>
      <x:c r="G19" s="22" t="n">
        <x:f>IF(COUNT('Наблюдения'!B2:C2,'Наблюдения'!B6:C6)=4,IF('Наблюдения'!B2&lt;&gt;'Наблюдения'!B6,1,0)+IF('Наблюдения'!C2&lt;&gt;'Наблюдения'!C6,1,0),NA())</x:f>
        <x:v>1</x:v>
      </x:c>
      <x:c r="H19" s="22" t="n">
        <x:f>IF(COUNT('Наблюдения'!B2:C2,'Наблюдения'!B7:C7)=4,IF('Наблюдения'!B2&lt;&gt;'Наблюдения'!B7,1,0)+IF('Наблюдения'!C2&lt;&gt;'Наблюдения'!C7,1,0),NA())</x:f>
        <x:v>1</x:v>
      </x:c>
      <x:c r="I19" s="22" t="n">
        <x:f>IF(COUNT('Наблюдения'!B2:C2,'Наблюдения'!B8:C8)=4,IF('Наблюдения'!B2&lt;&gt;'Наблюдения'!B8,1,0)+IF('Наблюдения'!C2&lt;&gt;'Наблюдения'!C8,1,0),NA())</x:f>
        <x:v>2</x:v>
      </x:c>
      <x:c r="J19" s="22" t="n">
        <x:f>IF(COUNT('Наблюдения'!B2:C2,'Наблюдения'!B9:C9)=4,IF('Наблюдения'!B2&lt;&gt;'Наблюдения'!B9,1,0)+IF('Наблюдения'!C2&lt;&gt;'Наблюдения'!C9,1,0),NA())</x:f>
        <x:v>2</x:v>
      </x:c>
    </x:row>
    <x:row r="20" ht="23" customHeight="1">
      <x:c r="B20" s="24" t="str">
        <x:v>P2</x:v>
      </x:c>
      <x:c r="C20" s="25" t="n">
        <x:f>IF(COUNT('Наблюдения'!B3:C3,'Наблюдения'!B2:C2)=4,IF('Наблюдения'!B3&lt;&gt;'Наблюдения'!B2,1,0)+IF('Наблюдения'!C3&lt;&gt;'Наблюдения'!C2,1,0),NA())</x:f>
        <x:v>2</x:v>
      </x:c>
      <x:c r="D20" s="26" t="n">
        <x:f>IF(COUNT('Наблюдения'!B3:C3,'Наблюдения'!B3:C3)=4,IF('Наблюдения'!B3&lt;&gt;'Наблюдения'!B3,1,0)+IF('Наблюдения'!C3&lt;&gt;'Наблюдения'!C3,1,0),NA())</x:f>
        <x:v>0</x:v>
      </x:c>
      <x:c r="E20" s="25" t="n">
        <x:f>IF(COUNT('Наблюдения'!B3:C3,'Наблюдения'!B4:C4)=4,IF('Наблюдения'!B3&lt;&gt;'Наблюдения'!B4,1,0)+IF('Наблюдения'!C3&lt;&gt;'Наблюдения'!C4,1,0),NA())</x:f>
        <x:v>2</x:v>
      </x:c>
      <x:c r="F20" s="25" t="n">
        <x:f>IF(COUNT('Наблюдения'!B3:C3,'Наблюдения'!B5:C5)=4,IF('Наблюдения'!B3&lt;&gt;'Наблюдения'!B5,1,0)+IF('Наблюдения'!C3&lt;&gt;'Наблюдения'!C5,1,0),NA())</x:f>
        <x:v>2</x:v>
      </x:c>
      <x:c r="G20" s="25" t="n">
        <x:f>IF(COUNT('Наблюдения'!B3:C3,'Наблюдения'!B6:C6)=4,IF('Наблюдения'!B3&lt;&gt;'Наблюдения'!B6,1,0)+IF('Наблюдения'!C3&lt;&gt;'Наблюдения'!C6,1,0),NA())</x:f>
        <x:v>2</x:v>
      </x:c>
      <x:c r="H20" s="25" t="n">
        <x:f>IF(COUNT('Наблюдения'!B3:C3,'Наблюдения'!B7:C7)=4,IF('Наблюдения'!B3&lt;&gt;'Наблюдения'!B7,1,0)+IF('Наблюдения'!C3&lt;&gt;'Наблюдения'!C7,1,0),NA())</x:f>
        <x:v>2</x:v>
      </x:c>
      <x:c r="I20" s="25" t="n">
        <x:f>IF(COUNT('Наблюдения'!B3:C3,'Наблюдения'!B8:C8)=4,IF('Наблюдения'!B3&lt;&gt;'Наблюдения'!B8,1,0)+IF('Наблюдения'!C3&lt;&gt;'Наблюдения'!C8,1,0),NA())</x:f>
        <x:v>2</x:v>
      </x:c>
      <x:c r="J20" s="25" t="n">
        <x:f>IF(COUNT('Наблюдения'!B3:C3,'Наблюдения'!B9:C9)=4,IF('Наблюдения'!B3&lt;&gt;'Наблюдения'!B9,1,0)+IF('Наблюдения'!C3&lt;&gt;'Наблюдения'!C9,1,0),NA())</x:f>
        <x:v>2</x:v>
      </x:c>
    </x:row>
    <x:row r="21" ht="23" customHeight="1">
      <x:c r="B21" s="11" t="str">
        <x:v>P3</x:v>
      </x:c>
      <x:c r="C21" s="22" t="n">
        <x:f>IF(COUNT('Наблюдения'!B4:C4,'Наблюдения'!B2:C2)=4,IF('Наблюдения'!B4&lt;&gt;'Наблюдения'!B2,1,0)+IF('Наблюдения'!C4&lt;&gt;'Наблюдения'!C2,1,0),NA())</x:f>
        <x:v>2</x:v>
      </x:c>
      <x:c r="D21" s="22" t="n">
        <x:f>IF(COUNT('Наблюдения'!B4:C4,'Наблюдения'!B3:C3)=4,IF('Наблюдения'!B4&lt;&gt;'Наблюдения'!B3,1,0)+IF('Наблюдения'!C4&lt;&gt;'Наблюдения'!C3,1,0),NA())</x:f>
        <x:v>2</x:v>
      </x:c>
      <x:c r="E21" s="23" t="n">
        <x:f>IF(COUNT('Наблюдения'!B4:C4,'Наблюдения'!B4:C4)=4,IF('Наблюдения'!B4&lt;&gt;'Наблюдения'!B4,1,0)+IF('Наблюдения'!C4&lt;&gt;'Наблюдения'!C4,1,0),NA())</x:f>
        <x:v>0</x:v>
      </x:c>
      <x:c r="F21" s="22" t="n">
        <x:f>IF(COUNT('Наблюдения'!B4:C4,'Наблюдения'!B5:C5)=4,IF('Наблюдения'!B4&lt;&gt;'Наблюдения'!B5,1,0)+IF('Наблюдения'!C4&lt;&gt;'Наблюдения'!C5,1,0),NA())</x:f>
        <x:v>2</x:v>
      </x:c>
      <x:c r="G21" s="22" t="n">
        <x:f>IF(COUNT('Наблюдения'!B4:C4,'Наблюдения'!B6:C6)=4,IF('Наблюдения'!B4&lt;&gt;'Наблюдения'!B6,1,0)+IF('Наблюдения'!C4&lt;&gt;'Наблюдения'!C6,1,0),NA())</x:f>
        <x:v>2</x:v>
      </x:c>
      <x:c r="H21" s="22" t="n">
        <x:f>IF(COUNT('Наблюдения'!B4:C4,'Наблюдения'!B7:C7)=4,IF('Наблюдения'!B4&lt;&gt;'Наблюдения'!B7,1,0)+IF('Наблюдения'!C4&lt;&gt;'Наблюдения'!C7,1,0),NA())</x:f>
        <x:v>2</x:v>
      </x:c>
      <x:c r="I21" s="22" t="n">
        <x:f>IF(COUNT('Наблюдения'!B4:C4,'Наблюдения'!B8:C8)=4,IF('Наблюдения'!B4&lt;&gt;'Наблюдения'!B8,1,0)+IF('Наблюдения'!C4&lt;&gt;'Наблюдения'!C8,1,0),NA())</x:f>
        <x:v>2</x:v>
      </x:c>
      <x:c r="J21" s="22" t="n">
        <x:f>IF(COUNT('Наблюдения'!B4:C4,'Наблюдения'!B9:C9)=4,IF('Наблюдения'!B4&lt;&gt;'Наблюдения'!B9,1,0)+IF('Наблюдения'!C4&lt;&gt;'Наблюдения'!C9,1,0),NA())</x:f>
        <x:v>2</x:v>
      </x:c>
    </x:row>
    <x:row r="22" ht="23" customHeight="1">
      <x:c r="B22" s="24" t="str">
        <x:v>P4</x:v>
      </x:c>
      <x:c r="C22" s="25" t="n">
        <x:f>IF(COUNT('Наблюдения'!B5:C5,'Наблюдения'!B2:C2)=4,IF('Наблюдения'!B5&lt;&gt;'Наблюдения'!B2,1,0)+IF('Наблюдения'!C5&lt;&gt;'Наблюдения'!C2,1,0),NA())</x:f>
        <x:v>2</x:v>
      </x:c>
      <x:c r="D22" s="25" t="n">
        <x:f>IF(COUNT('Наблюдения'!B5:C5,'Наблюдения'!B3:C3)=4,IF('Наблюдения'!B5&lt;&gt;'Наблюдения'!B3,1,0)+IF('Наблюдения'!C5&lt;&gt;'Наблюдения'!C3,1,0),NA())</x:f>
        <x:v>2</x:v>
      </x:c>
      <x:c r="E22" s="25" t="n">
        <x:f>IF(COUNT('Наблюдения'!B5:C5,'Наблюдения'!B4:C4)=4,IF('Наблюдения'!B5&lt;&gt;'Наблюдения'!B4,1,0)+IF('Наблюдения'!C5&lt;&gt;'Наблюдения'!C4,1,0),NA())</x:f>
        <x:v>2</x:v>
      </x:c>
      <x:c r="F22" s="26" t="n">
        <x:f>IF(COUNT('Наблюдения'!B5:C5,'Наблюдения'!B5:C5)=4,IF('Наблюдения'!B5&lt;&gt;'Наблюдения'!B5,1,0)+IF('Наблюдения'!C5&lt;&gt;'Наблюдения'!C5,1,0),NA())</x:f>
        <x:v>0</x:v>
      </x:c>
      <x:c r="G22" s="25" t="n">
        <x:f>IF(COUNT('Наблюдения'!B5:C5,'Наблюдения'!B6:C6)=4,IF('Наблюдения'!B5&lt;&gt;'Наблюдения'!B6,1,0)+IF('Наблюдения'!C5&lt;&gt;'Наблюдения'!C6,1,0),NA())</x:f>
        <x:v>2</x:v>
      </x:c>
      <x:c r="H22" s="25" t="n">
        <x:f>IF(COUNT('Наблюдения'!B5:C5,'Наблюдения'!B7:C7)=4,IF('Наблюдения'!B5&lt;&gt;'Наблюдения'!B7,1,0)+IF('Наблюдения'!C5&lt;&gt;'Наблюдения'!C7,1,0),NA())</x:f>
        <x:v>2</x:v>
      </x:c>
      <x:c r="I22" s="25" t="n">
        <x:f>IF(COUNT('Наблюдения'!B5:C5,'Наблюдения'!B8:C8)=4,IF('Наблюдения'!B5&lt;&gt;'Наблюдения'!B8,1,0)+IF('Наблюдения'!C5&lt;&gt;'Наблюдения'!C8,1,0),NA())</x:f>
        <x:v>2</x:v>
      </x:c>
      <x:c r="J22" s="25" t="n">
        <x:f>IF(COUNT('Наблюдения'!B5:C5,'Наблюдения'!B9:C9)=4,IF('Наблюдения'!B5&lt;&gt;'Наблюдения'!B9,1,0)+IF('Наблюдения'!C5&lt;&gt;'Наблюдения'!C9,1,0),NA())</x:f>
        <x:v>2</x:v>
      </x:c>
    </x:row>
    <x:row r="23" ht="23" customHeight="1">
      <x:c r="B23" s="11" t="str">
        <x:v>P5</x:v>
      </x:c>
      <x:c r="C23" s="22" t="n">
        <x:f>IF(COUNT('Наблюдения'!B6:C6,'Наблюдения'!B2:C2)=4,IF('Наблюдения'!B6&lt;&gt;'Наблюдения'!B2,1,0)+IF('Наблюдения'!C6&lt;&gt;'Наблюдения'!C2,1,0),NA())</x:f>
        <x:v>1</x:v>
      </x:c>
      <x:c r="D23" s="22" t="n">
        <x:f>IF(COUNT('Наблюдения'!B6:C6,'Наблюдения'!B3:C3)=4,IF('Наблюдения'!B6&lt;&gt;'Наблюдения'!B3,1,0)+IF('Наблюдения'!C6&lt;&gt;'Наблюдения'!C3,1,0),NA())</x:f>
        <x:v>2</x:v>
      </x:c>
      <x:c r="E23" s="22" t="n">
        <x:f>IF(COUNT('Наблюдения'!B6:C6,'Наблюдения'!B4:C4)=4,IF('Наблюдения'!B6&lt;&gt;'Наблюдения'!B4,1,0)+IF('Наблюдения'!C6&lt;&gt;'Наблюдения'!C4,1,0),NA())</x:f>
        <x:v>2</x:v>
      </x:c>
      <x:c r="F23" s="22" t="n">
        <x:f>IF(COUNT('Наблюдения'!B6:C6,'Наблюдения'!B5:C5)=4,IF('Наблюдения'!B6&lt;&gt;'Наблюдения'!B5,1,0)+IF('Наблюдения'!C6&lt;&gt;'Наблюдения'!C5,1,0),NA())</x:f>
        <x:v>2</x:v>
      </x:c>
      <x:c r="G23" s="23" t="n">
        <x:f>IF(COUNT('Наблюдения'!B6:C6,'Наблюдения'!B6:C6)=4,IF('Наблюдения'!B6&lt;&gt;'Наблюдения'!B6,1,0)+IF('Наблюдения'!C6&lt;&gt;'Наблюдения'!C6,1,0),NA())</x:f>
        <x:v>0</x:v>
      </x:c>
      <x:c r="H23" s="22" t="n">
        <x:f>IF(COUNT('Наблюдения'!B6:C6,'Наблюдения'!B7:C7)=4,IF('Наблюдения'!B6&lt;&gt;'Наблюдения'!B7,1,0)+IF('Наблюдения'!C6&lt;&gt;'Наблюдения'!C7,1,0),NA())</x:f>
        <x:v>2</x:v>
      </x:c>
      <x:c r="I23" s="22" t="n">
        <x:f>IF(COUNT('Наблюдения'!B6:C6,'Наблюдения'!B8:C8)=4,IF('Наблюдения'!B6&lt;&gt;'Наблюдения'!B8,1,0)+IF('Наблюдения'!C6&lt;&gt;'Наблюдения'!C8,1,0),NA())</x:f>
        <x:v>2</x:v>
      </x:c>
      <x:c r="J23" s="22" t="n">
        <x:f>IF(COUNT('Наблюдения'!B6:C6,'Наблюдения'!B9:C9)=4,IF('Наблюдения'!B6&lt;&gt;'Наблюдения'!B9,1,0)+IF('Наблюдения'!C6&lt;&gt;'Наблюдения'!C9,1,0),NA())</x:f>
        <x:v>2</x:v>
      </x:c>
    </x:row>
    <x:row r="24" ht="23" customHeight="1">
      <x:c r="B24" s="24" t="str">
        <x:v>P6</x:v>
      </x:c>
      <x:c r="C24" s="25" t="n">
        <x:f>IF(COUNT('Наблюдения'!B7:C7,'Наблюдения'!B2:C2)=4,IF('Наблюдения'!B7&lt;&gt;'Наблюдения'!B2,1,0)+IF('Наблюдения'!C7&lt;&gt;'Наблюдения'!C2,1,0),NA())</x:f>
        <x:v>1</x:v>
      </x:c>
      <x:c r="D24" s="25" t="n">
        <x:f>IF(COUNT('Наблюдения'!B7:C7,'Наблюдения'!B3:C3)=4,IF('Наблюдения'!B7&lt;&gt;'Наблюдения'!B3,1,0)+IF('Наблюдения'!C7&lt;&gt;'Наблюдения'!C3,1,0),NA())</x:f>
        <x:v>2</x:v>
      </x:c>
      <x:c r="E24" s="25" t="n">
        <x:f>IF(COUNT('Наблюдения'!B7:C7,'Наблюдения'!B4:C4)=4,IF('Наблюдения'!B7&lt;&gt;'Наблюдения'!B4,1,0)+IF('Наблюдения'!C7&lt;&gt;'Наблюдения'!C4,1,0),NA())</x:f>
        <x:v>2</x:v>
      </x:c>
      <x:c r="F24" s="25" t="n">
        <x:f>IF(COUNT('Наблюдения'!B7:C7,'Наблюдения'!B5:C5)=4,IF('Наблюдения'!B7&lt;&gt;'Наблюдения'!B5,1,0)+IF('Наблюдения'!C7&lt;&gt;'Наблюдения'!C5,1,0),NA())</x:f>
        <x:v>2</x:v>
      </x:c>
      <x:c r="G24" s="25" t="n">
        <x:f>IF(COUNT('Наблюдения'!B7:C7,'Наблюдения'!B6:C6)=4,IF('Наблюдения'!B7&lt;&gt;'Наблюдения'!B6,1,0)+IF('Наблюдения'!C7&lt;&gt;'Наблюдения'!C6,1,0),NA())</x:f>
        <x:v>2</x:v>
      </x:c>
      <x:c r="H24" s="26" t="n">
        <x:f>IF(COUNT('Наблюдения'!B7:C7,'Наблюдения'!B7:C7)=4,IF('Наблюдения'!B7&lt;&gt;'Наблюдения'!B7,1,0)+IF('Наблюдения'!C7&lt;&gt;'Наблюдения'!C7,1,0),NA())</x:f>
        <x:v>0</x:v>
      </x:c>
      <x:c r="I24" s="25" t="n">
        <x:f>IF(COUNT('Наблюдения'!B7:C7,'Наблюдения'!B8:C8)=4,IF('Наблюдения'!B7&lt;&gt;'Наблюдения'!B8,1,0)+IF('Наблюдения'!C7&lt;&gt;'Наблюдения'!C8,1,0),NA())</x:f>
        <x:v>2</x:v>
      </x:c>
      <x:c r="J24" s="25" t="n">
        <x:f>IF(COUNT('Наблюдения'!B7:C7,'Наблюдения'!B9:C9)=4,IF('Наблюдения'!B7&lt;&gt;'Наблюдения'!B9,1,0)+IF('Наблюдения'!C7&lt;&gt;'Наблюдения'!C9,1,0),NA())</x:f>
        <x:v>2</x:v>
      </x:c>
    </x:row>
    <x:row r="25" ht="23" customHeight="1">
      <x:c r="B25" s="11" t="str">
        <x:v>P7</x:v>
      </x:c>
      <x:c r="C25" s="22" t="n">
        <x:f>IF(COUNT('Наблюдения'!B8:C8,'Наблюдения'!B2:C2)=4,IF('Наблюдения'!B8&lt;&gt;'Наблюдения'!B2,1,0)+IF('Наблюдения'!C8&lt;&gt;'Наблюдения'!C2,1,0),NA())</x:f>
        <x:v>2</x:v>
      </x:c>
      <x:c r="D25" s="22" t="n">
        <x:f>IF(COUNT('Наблюдения'!B8:C8,'Наблюдения'!B3:C3)=4,IF('Наблюдения'!B8&lt;&gt;'Наблюдения'!B3,1,0)+IF('Наблюдения'!C8&lt;&gt;'Наблюдения'!C3,1,0),NA())</x:f>
        <x:v>2</x:v>
      </x:c>
      <x:c r="E25" s="22" t="n">
        <x:f>IF(COUNT('Наблюдения'!B8:C8,'Наблюдения'!B4:C4)=4,IF('Наблюдения'!B8&lt;&gt;'Наблюдения'!B4,1,0)+IF('Наблюдения'!C8&lt;&gt;'Наблюдения'!C4,1,0),NA())</x:f>
        <x:v>2</x:v>
      </x:c>
      <x:c r="F25" s="22" t="n">
        <x:f>IF(COUNT('Наблюдения'!B8:C8,'Наблюдения'!B5:C5)=4,IF('Наблюдения'!B8&lt;&gt;'Наблюдения'!B5,1,0)+IF('Наблюдения'!C8&lt;&gt;'Наблюдения'!C5,1,0),NA())</x:f>
        <x:v>2</x:v>
      </x:c>
      <x:c r="G25" s="22" t="n">
        <x:f>IF(COUNT('Наблюдения'!B8:C8,'Наблюдения'!B6:C6)=4,IF('Наблюдения'!B8&lt;&gt;'Наблюдения'!B6,1,0)+IF('Наблюдения'!C8&lt;&gt;'Наблюдения'!C6,1,0),NA())</x:f>
        <x:v>2</x:v>
      </x:c>
      <x:c r="H25" s="22" t="n">
        <x:f>IF(COUNT('Наблюдения'!B8:C8,'Наблюдения'!B7:C7)=4,IF('Наблюдения'!B8&lt;&gt;'Наблюдения'!B7,1,0)+IF('Наблюдения'!C8&lt;&gt;'Наблюдения'!C7,1,0),NA())</x:f>
        <x:v>2</x:v>
      </x:c>
      <x:c r="I25" s="23" t="n">
        <x:f>IF(COUNT('Наблюдения'!B8:C8,'Наблюдения'!B8:C8)=4,IF('Наблюдения'!B8&lt;&gt;'Наблюдения'!B8,1,0)+IF('Наблюдения'!C8&lt;&gt;'Наблюдения'!C8,1,0),NA())</x:f>
        <x:v>0</x:v>
      </x:c>
      <x:c r="J25" s="22" t="n">
        <x:f>IF(COUNT('Наблюдения'!B8:C8,'Наблюдения'!B9:C9)=4,IF('Наблюдения'!B8&lt;&gt;'Наблюдения'!B9,1,0)+IF('Наблюдения'!C8&lt;&gt;'Наблюдения'!C9,1,0),NA())</x:f>
        <x:v>2</x:v>
      </x:c>
    </x:row>
    <x:row r="26" ht="23" customHeight="1">
      <x:c r="B26" s="27" t="str">
        <x:v>P8</x:v>
      </x:c>
      <x:c r="C26" s="28" t="n">
        <x:f>IF(COUNT('Наблюдения'!B9:C9,'Наблюдения'!B2:C2)=4,IF('Наблюдения'!B9&lt;&gt;'Наблюдения'!B2,1,0)+IF('Наблюдения'!C9&lt;&gt;'Наблюдения'!C2,1,0),NA())</x:f>
        <x:v>2</x:v>
      </x:c>
      <x:c r="D26" s="28" t="n">
        <x:f>IF(COUNT('Наблюдения'!B9:C9,'Наблюдения'!B3:C3)=4,IF('Наблюдения'!B9&lt;&gt;'Наблюдения'!B3,1,0)+IF('Наблюдения'!C9&lt;&gt;'Наблюдения'!C3,1,0),NA())</x:f>
        <x:v>2</x:v>
      </x:c>
      <x:c r="E26" s="28" t="n">
        <x:f>IF(COUNT('Наблюдения'!B9:C9,'Наблюдения'!B4:C4)=4,IF('Наблюдения'!B9&lt;&gt;'Наблюдения'!B4,1,0)+IF('Наблюдения'!C9&lt;&gt;'Наблюдения'!C4,1,0),NA())</x:f>
        <x:v>2</x:v>
      </x:c>
      <x:c r="F26" s="28" t="n">
        <x:f>IF(COUNT('Наблюдения'!B9:C9,'Наблюдения'!B5:C5)=4,IF('Наблюдения'!B9&lt;&gt;'Наблюдения'!B5,1,0)+IF('Наблюдения'!C9&lt;&gt;'Наблюдения'!C5,1,0),NA())</x:f>
        <x:v>2</x:v>
      </x:c>
      <x:c r="G26" s="28" t="n">
        <x:f>IF(COUNT('Наблюдения'!B9:C9,'Наблюдения'!B6:C6)=4,IF('Наблюдения'!B9&lt;&gt;'Наблюдения'!B6,1,0)+IF('Наблюдения'!C9&lt;&gt;'Наблюдения'!C6,1,0),NA())</x:f>
        <x:v>2</x:v>
      </x:c>
      <x:c r="H26" s="28" t="n">
        <x:f>IF(COUNT('Наблюдения'!B9:C9,'Наблюдения'!B7:C7)=4,IF('Наблюдения'!B9&lt;&gt;'Наблюдения'!B7,1,0)+IF('Наблюдения'!C9&lt;&gt;'Наблюдения'!C7,1,0),NA())</x:f>
        <x:v>2</x:v>
      </x:c>
      <x:c r="I26" s="28" t="n">
        <x:f>IF(COUNT('Наблюдения'!B9:C9,'Наблюдения'!B8:C8)=4,IF('Наблюдения'!B9&lt;&gt;'Наблюдения'!B8,1,0)+IF('Наблюдения'!C9&lt;&gt;'Наблюдения'!C8,1,0),NA())</x:f>
        <x:v>2</x:v>
      </x:c>
      <x:c r="J26" s="29" t="n">
        <x:f>IF(COUNT('Наблюдения'!B9:C9,'Наблюдения'!B9:C9)=4,IF('Наблюдения'!B9&lt;&gt;'Наблюдения'!B9,1,0)+IF('Наблюдения'!C9&lt;&gt;'Наблюдения'!C9,1,0),NA())</x:f>
        <x:v>0</x:v>
      </x:c>
    </x:row>
    <x:row r="27" ht="23" customHeight="1"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3" customHeight="1">
      <x:c r="B29" s="11" t="str">
        <x:v>Евклидово расстояние</x:v>
      </x:c>
      <x:c r="C29" s="2"/>
      <x:c r="D29" s="2"/>
      <x:c r="E29" s="2"/>
      <x:c r="F29" s="2"/>
      <x:c r="G29" s="2"/>
      <x:c r="H29" s="2"/>
      <x:c r="I29" s="2"/>
      <x:c r="J29" s="2"/>
    </x:row>
    <x:row r="30" ht="26" customHeight="1">
      <x:c r="B30" s="8" t="str">
        <x:v>Объект</x:v>
      </x:c>
      <x:c r="C30" s="9" t="str">
        <x:v>P1</x:v>
      </x:c>
      <x:c r="D30" s="9" t="str">
        <x:v>P2</x:v>
      </x:c>
      <x:c r="E30" s="9" t="str">
        <x:v>P3</x:v>
      </x:c>
      <x:c r="F30" s="9" t="str">
        <x:v>P4</x:v>
      </x:c>
      <x:c r="G30" s="9" t="str">
        <x:v>P5</x:v>
      </x:c>
      <x:c r="H30" s="9" t="str">
        <x:v>P6</x:v>
      </x:c>
      <x:c r="I30" s="9" t="str">
        <x:v>P7</x:v>
      </x:c>
      <x:c r="J30" s="10" t="str">
        <x:v>P8</x:v>
      </x:c>
    </x:row>
    <x:row r="31" ht="23" customHeight="1">
      <x:c r="B31" s="11" t="str">
        <x:v>P1</x:v>
      </x:c>
      <x:c r="C31" s="32" t="n">
        <x:f>IF(COUNT('Наблюдения'!B2:C2,'Наблюдения'!B2:C2)=4,SQRT(('Наблюдения'!B2-'Наблюдения'!B2)^2+('Наблюдения'!C2-'Наблюдения'!C2)^2),NA())</x:f>
        <x:v>0</x:v>
      </x:c>
      <x:c r="D31" s="31" t="n">
        <x:f>IF(COUNT('Наблюдения'!B2:C2,'Наблюдения'!B3:C3)=4,SQRT(('Наблюдения'!B2-'Наблюдения'!B3)^2+('Наблюдения'!C2-'Наблюдения'!C3)^2),NA())</x:f>
        <x:v>14.422205101855956</x:v>
      </x:c>
      <x:c r="E31" s="31" t="n">
        <x:f>IF(COUNT('Наблюдения'!B2:C2,'Наблюдения'!B4:C4)=4,SQRT(('Наблюдения'!B2-'Наблюдения'!B4)^2+('Наблюдения'!C2-'Наблюдения'!C4)^2),NA())</x:f>
        <x:v>19.4164878389476</x:v>
      </x:c>
      <x:c r="F31" s="31" t="n">
        <x:f>IF(COUNT('Наблюдения'!B2:C2,'Наблюдения'!B5:C5)=4,SQRT(('Наблюдения'!B2-'Наблюдения'!B5)^2+('Наблюдения'!C2-'Наблюдения'!C5)^2),NA())</x:f>
        <x:v>10.816653826391969</x:v>
      </x:c>
      <x:c r="G31" s="31" t="n">
        <x:f>IF(COUNT('Наблюдения'!B2:C2,'Наблюдения'!B6:C6)=4,SQRT(('Наблюдения'!B2-'Наблюдения'!B6)^2+('Наблюдения'!C2-'Наблюдения'!C6)^2),NA())</x:f>
        <x:v>15</x:v>
      </x:c>
      <x:c r="H31" s="31" t="n">
        <x:f>IF(COUNT('Наблюдения'!B2:C2,'Наблюдения'!B7:C7)=4,SQRT(('Наблюдения'!B2-'Наблюдения'!B7)^2+('Наблюдения'!C2-'Наблюдения'!C7)^2),NA())</x:f>
        <x:v>12</x:v>
      </x:c>
      <x:c r="I31" s="31" t="n">
        <x:f>IF(COUNT('Наблюдения'!B2:C2,'Наблюдения'!B8:C8)=4,SQRT(('Наблюдения'!B2-'Наблюдения'!B8)^2+('Наблюдения'!C2-'Наблюдения'!C8)^2),NA())</x:f>
        <x:v>9.848857801796104</x:v>
      </x:c>
      <x:c r="J31" s="31" t="n">
        <x:f>IF(COUNT('Наблюдения'!B2:C2,'Наблюдения'!B9:C9)=4,SQRT(('Наблюдения'!B2-'Наблюдения'!B9)^2+('Наблюдения'!C2-'Наблюдения'!C9)^2),NA())</x:f>
        <x:v>24.041630560342615</x:v>
      </x:c>
    </x:row>
    <x:row r="32" ht="23" customHeight="1">
      <x:c r="B32" s="24" t="str">
        <x:v>P2</x:v>
      </x:c>
      <x:c r="C32" s="33" t="n">
        <x:f>IF(COUNT('Наблюдения'!B3:C3,'Наблюдения'!B2:C2)=4,SQRT(('Наблюдения'!B3-'Наблюдения'!B2)^2+('Наблюдения'!C3-'Наблюдения'!C2)^2),NA())</x:f>
        <x:v>14.422205101855956</x:v>
      </x:c>
      <x:c r="D32" s="34" t="n">
        <x:f>IF(COUNT('Наблюдения'!B3:C3,'Наблюдения'!B3:C3)=4,SQRT(('Наблюдения'!B3-'Наблюдения'!B3)^2+('Наблюдения'!C3-'Наблюдения'!C3)^2),NA())</x:f>
        <x:v>0</x:v>
      </x:c>
      <x:c r="E32" s="33" t="n">
        <x:f>IF(COUNT('Наблюдения'!B3:C3,'Наблюдения'!B4:C4)=4,SQRT(('Наблюдения'!B3-'Наблюдения'!B4)^2+('Наблюдения'!C3-'Наблюдения'!C4)^2),NA())</x:f>
        <x:v>13.892443989449804</x:v>
      </x:c>
      <x:c r="F32" s="33" t="n">
        <x:f>IF(COUNT('Наблюдения'!B3:C3,'Наблюдения'!B5:C5)=4,SQRT(('Наблюдения'!B3-'Наблюдения'!B5)^2+('Наблюдения'!C3-'Наблюдения'!C5)^2),NA())</x:f>
        <x:v>18.027756377319946</x:v>
      </x:c>
      <x:c r="G32" s="33" t="n">
        <x:f>IF(COUNT('Наблюдения'!B3:C3,'Наблюдения'!B6:C6)=4,SQRT(('Наблюдения'!B3-'Наблюдения'!B6)^2+('Наблюдения'!C3-'Наблюдения'!C6)^2),NA())</x:f>
        <x:v>8.54400374531753</x:v>
      </x:c>
      <x:c r="H32" s="33" t="n">
        <x:f>IF(COUNT('Наблюдения'!B3:C3,'Наблюдения'!B7:C7)=4,SQRT(('Наблюдения'!B3-'Наблюдения'!B7)^2+('Наблюдения'!C3-'Наблюдения'!C7)^2),NA())</x:f>
        <x:v>12.649110640673518</x:v>
      </x:c>
      <x:c r="I32" s="33" t="n">
        <x:f>IF(COUNT('Наблюдения'!B3:C3,'Наблюдения'!B8:C8)=4,SQRT(('Наблюдения'!B3-'Наблюдения'!B8)^2+('Наблюдения'!C3-'Наблюдения'!C8)^2),NA())</x:f>
        <x:v>5</x:v>
      </x:c>
      <x:c r="J32" s="33" t="n">
        <x:f>IF(COUNT('Наблюдения'!B3:C3,'Наблюдения'!B9:C9)=4,SQRT(('Наблюдения'!B3-'Наблюдения'!B9)^2+('Наблюдения'!C3-'Наблюдения'!C9)^2),NA())</x:f>
        <x:v>11.045361017187261</x:v>
      </x:c>
    </x:row>
    <x:row r="33" ht="23" customHeight="1">
      <x:c r="B33" s="11" t="str">
        <x:v>P3</x:v>
      </x:c>
      <x:c r="C33" s="31" t="n">
        <x:f>IF(COUNT('Наблюдения'!B4:C4,'Наблюдения'!B2:C2)=4,SQRT(('Наблюдения'!B4-'Наблюдения'!B2)^2+('Наблюдения'!C4-'Наблюдения'!C2)^2),NA())</x:f>
        <x:v>19.4164878389476</x:v>
      </x:c>
      <x:c r="D33" s="31" t="n">
        <x:f>IF(COUNT('Наблюдения'!B4:C4,'Наблюдения'!B3:C3)=4,SQRT(('Наблюдения'!B4-'Наблюдения'!B3)^2+('Наблюдения'!C4-'Наблюдения'!C3)^2),NA())</x:f>
        <x:v>13.892443989449804</x:v>
      </x:c>
      <x:c r="E33" s="32" t="n">
        <x:f>IF(COUNT('Наблюдения'!B4:C4,'Наблюдения'!B4:C4)=4,SQRT(('Наблюдения'!B4-'Наблюдения'!B4)^2+('Наблюдения'!C4-'Наблюдения'!C4)^2),NA())</x:f>
        <x:v>0</x:v>
      </x:c>
      <x:c r="F33" s="31" t="n">
        <x:f>IF(COUNT('Наблюдения'!B4:C4,'Наблюдения'!B5:C5)=4,SQRT(('Наблюдения'!B4-'Наблюдения'!B5)^2+('Наблюдения'!C4-'Наблюдения'!C5)^2),NA())</x:f>
        <x:v>13.92838827718412</x:v>
      </x:c>
      <x:c r="G33" s="31" t="n">
        <x:f>IF(COUNT('Наблюдения'!B4:C4,'Наблюдения'!B6:C6)=4,SQRT(('Наблюдения'!B4-'Наблюдения'!B6)^2+('Наблюдения'!C4-'Наблюдения'!C6)^2),NA())</x:f>
        <x:v>5.656854249492381</x:v>
      </x:c>
      <x:c r="H33" s="31" t="n">
        <x:f>IF(COUNT('Наблюдения'!B4:C4,'Наблюдения'!B7:C7)=4,SQRT(('Наблюдения'!B4-'Наблюдения'!B7)^2+('Наблюдения'!C4-'Наблюдения'!C7)^2),NA())</x:f>
        <x:v>24.839484696748443</x:v>
      </x:c>
      <x:c r="I33" s="31" t="n">
        <x:f>IF(COUNT('Наблюдения'!B4:C4,'Наблюдения'!B8:C8)=4,SQRT(('Наблюдения'!B4-'Наблюдения'!B8)^2+('Наблюдения'!C4-'Наблюдения'!C8)^2),NA())</x:f>
        <x:v>12.806248474865697</x:v>
      </x:c>
      <x:c r="J33" s="31" t="n">
        <x:f>IF(COUNT('Наблюдения'!B4:C4,'Наблюдения'!B9:C9)=4,SQRT(('Наблюдения'!B4-'Наблюдения'!B9)^2+('Наблюдения'!C4-'Наблюдения'!C9)^2),NA())</x:f>
        <x:v>11.704699910719626</x:v>
      </x:c>
    </x:row>
    <x:row r="34" ht="23" customHeight="1">
      <x:c r="B34" s="24" t="str">
        <x:v>P4</x:v>
      </x:c>
      <x:c r="C34" s="33" t="n">
        <x:f>IF(COUNT('Наблюдения'!B5:C5,'Наблюдения'!B2:C2)=4,SQRT(('Наблюдения'!B5-'Наблюдения'!B2)^2+('Наблюдения'!C5-'Наблюдения'!C2)^2),NA())</x:f>
        <x:v>10.816653826391969</x:v>
      </x:c>
      <x:c r="D34" s="33" t="n">
        <x:f>IF(COUNT('Наблюдения'!B5:C5,'Наблюдения'!B3:C3)=4,SQRT(('Наблюдения'!B5-'Наблюдения'!B3)^2+('Наблюдения'!C5-'Наблюдения'!C3)^2),NA())</x:f>
        <x:v>18.027756377319946</x:v>
      </x:c>
      <x:c r="E34" s="33" t="n">
        <x:f>IF(COUNT('Наблюдения'!B5:C5,'Наблюдения'!B4:C4)=4,SQRT(('Наблюдения'!B5-'Наблюдения'!B4)^2+('Наблюдения'!C5-'Наблюдения'!C4)^2),NA())</x:f>
        <x:v>13.92838827718412</x:v>
      </x:c>
      <x:c r="F34" s="34" t="n">
        <x:f>IF(COUNT('Наблюдения'!B5:C5,'Наблюдения'!B5:C5)=4,SQRT(('Наблюдения'!B5-'Наблюдения'!B5)^2+('Наблюдения'!C5-'Наблюдения'!C5)^2),NA())</x:f>
        <x:v>0</x:v>
      </x:c>
      <x:c r="G34" s="33" t="n">
        <x:f>IF(COUNT('Наблюдения'!B5:C5,'Наблюдения'!B6:C6)=4,SQRT(('Наблюдения'!B5-'Наблюдения'!B6)^2+('Наблюдения'!C5-'Наблюдения'!C6)^2),NA())</x:f>
        <x:v>12.727922061357855</x:v>
      </x:c>
      <x:c r="H34" s="33" t="n">
        <x:f>IF(COUNT('Наблюдения'!B5:C5,'Наблюдения'!B7:C7)=4,SQRT(('Наблюдения'!B5-'Наблюдения'!B7)^2+('Наблюдения'!C5-'Наблюдения'!C7)^2),NA())</x:f>
        <x:v>21.840329667841555</x:v>
      </x:c>
      <x:c r="I34" s="33" t="n">
        <x:f>IF(COUNT('Наблюдения'!B5:C5,'Наблюдения'!B8:C8)=4,SQRT(('Наблюдения'!B5-'Наблюдения'!B8)^2+('Наблюдения'!C5-'Наблюдения'!C8)^2),NA())</x:f>
        <x:v>13.341664064126334</x:v>
      </x:c>
      <x:c r="J34" s="33" t="n">
        <x:f>IF(COUNT('Наблюдения'!B5:C5,'Наблюдения'!B9:C9)=4,SQRT(('Наблюдения'!B5-'Наблюдения'!B9)^2+('Наблюдения'!C5-'Наблюдения'!C9)^2),NA())</x:f>
        <x:v>23.345235059857504</x:v>
      </x:c>
    </x:row>
    <x:row r="35" ht="23" customHeight="1">
      <x:c r="B35" s="11" t="str">
        <x:v>P5</x:v>
      </x:c>
      <x:c r="C35" s="31" t="n">
        <x:f>IF(COUNT('Наблюдения'!B6:C6,'Наблюдения'!B2:C2)=4,SQRT(('Наблюдения'!B6-'Наблюдения'!B2)^2+('Наблюдения'!C6-'Наблюдения'!C2)^2),NA())</x:f>
        <x:v>15</x:v>
      </x:c>
      <x:c r="D35" s="31" t="n">
        <x:f>IF(COUNT('Наблюдения'!B6:C6,'Наблюдения'!B3:C3)=4,SQRT(('Наблюдения'!B6-'Наблюдения'!B3)^2+('Наблюдения'!C6-'Наблюдения'!C3)^2),NA())</x:f>
        <x:v>8.54400374531753</x:v>
      </x:c>
      <x:c r="E35" s="31" t="n">
        <x:f>IF(COUNT('Наблюдения'!B6:C6,'Наблюдения'!B4:C4)=4,SQRT(('Наблюдения'!B6-'Наблюдения'!B4)^2+('Наблюдения'!C6-'Наблюдения'!C4)^2),NA())</x:f>
        <x:v>5.656854249492381</x:v>
      </x:c>
      <x:c r="F35" s="31" t="n">
        <x:f>IF(COUNT('Наблюдения'!B6:C6,'Наблюдения'!B5:C5)=4,SQRT(('Наблюдения'!B6-'Наблюдения'!B5)^2+('Наблюдения'!C6-'Наблюдения'!C5)^2),NA())</x:f>
        <x:v>12.727922061357855</x:v>
      </x:c>
      <x:c r="G35" s="32" t="n">
        <x:f>IF(COUNT('Наблюдения'!B6:C6,'Наблюдения'!B6:C6)=4,SQRT(('Наблюдения'!B6-'Наблюдения'!B6)^2+('Наблюдения'!C6-'Наблюдения'!C6)^2),NA())</x:f>
        <x:v>0</x:v>
      </x:c>
      <x:c r="H35" s="31" t="n">
        <x:f>IF(COUNT('Наблюдения'!B6:C6,'Наблюдения'!B7:C7)=4,SQRT(('Наблюдения'!B6-'Наблюдения'!B7)^2+('Наблюдения'!C6-'Наблюдения'!C7)^2),NA())</x:f>
        <x:v>19.209372712298546</x:v>
      </x:c>
      <x:c r="I35" s="31" t="n">
        <x:f>IF(COUNT('Наблюдения'!B6:C6,'Наблюдения'!B8:C8)=4,SQRT(('Наблюдения'!B6-'Наблюдения'!B8)^2+('Наблюдения'!C6-'Наблюдения'!C8)^2),NA())</x:f>
        <x:v>7.211102550927978</x:v>
      </x:c>
      <x:c r="J35" s="31" t="n">
        <x:f>IF(COUNT('Наблюдения'!B6:C6,'Наблюдения'!B9:C9)=4,SQRT(('Наблюдения'!B6-'Наблюдения'!B9)^2+('Наблюдения'!C6-'Наблюдения'!C9)^2),NA())</x:f>
        <x:v>10.63014581273465</x:v>
      </x:c>
    </x:row>
    <x:row r="36" ht="23" customHeight="1">
      <x:c r="B36" s="24" t="str">
        <x:v>P6</x:v>
      </x:c>
      <x:c r="C36" s="33" t="n">
        <x:f>IF(COUNT('Наблюдения'!B7:C7,'Наблюдения'!B2:C2)=4,SQRT(('Наблюдения'!B7-'Наблюдения'!B2)^2+('Наблюдения'!C7-'Наблюдения'!C2)^2),NA())</x:f>
        <x:v>12</x:v>
      </x:c>
      <x:c r="D36" s="33" t="n">
        <x:f>IF(COUNT('Наблюдения'!B7:C7,'Наблюдения'!B3:C3)=4,SQRT(('Наблюдения'!B7-'Наблюдения'!B3)^2+('Наблюдения'!C7-'Наблюдения'!C3)^2),NA())</x:f>
        <x:v>12.649110640673518</x:v>
      </x:c>
      <x:c r="E36" s="33" t="n">
        <x:f>IF(COUNT('Наблюдения'!B7:C7,'Наблюдения'!B4:C4)=4,SQRT(('Наблюдения'!B7-'Наблюдения'!B4)^2+('Наблюдения'!C7-'Наблюдения'!C4)^2),NA())</x:f>
        <x:v>24.839484696748443</x:v>
      </x:c>
      <x:c r="F36" s="33" t="n">
        <x:f>IF(COUNT('Наблюдения'!B7:C7,'Наблюдения'!B5:C5)=4,SQRT(('Наблюдения'!B7-'Наблюдения'!B5)^2+('Наблюдения'!C7-'Наблюдения'!C5)^2),NA())</x:f>
        <x:v>21.840329667841555</x:v>
      </x:c>
      <x:c r="G36" s="33" t="n">
        <x:f>IF(COUNT('Наблюдения'!B7:C7,'Наблюдения'!B6:C6)=4,SQRT(('Наблюдения'!B7-'Наблюдения'!B6)^2+('Наблюдения'!C7-'Наблюдения'!C6)^2),NA())</x:f>
        <x:v>19.209372712298546</x:v>
      </x:c>
      <x:c r="H36" s="34" t="n">
        <x:f>IF(COUNT('Наблюдения'!B7:C7,'Наблюдения'!B7:C7)=4,SQRT(('Наблюдения'!B7-'Наблюдения'!B7)^2+('Наблюдения'!C7-'Наблюдения'!C7)^2),NA())</x:f>
        <x:v>0</x:v>
      </x:c>
      <x:c r="I36" s="33" t="n">
        <x:f>IF(COUNT('Наблюдения'!B7:C7,'Наблюдения'!B8:C8)=4,SQRT(('Наблюдения'!B7-'Наблюдения'!B8)^2+('Наблюдения'!C7-'Наблюдения'!C8)^2),NA())</x:f>
        <x:v>12.041594578792296</x:v>
      </x:c>
      <x:c r="J36" s="33" t="n">
        <x:f>IF(COUNT('Наблюдения'!B7:C7,'Наблюдения'!B9:C9)=4,SQRT(('Наблюдения'!B7-'Наблюдения'!B9)^2+('Наблюдения'!C7-'Наблюдения'!C9)^2),NA())</x:f>
        <x:v>23.53720459187964</x:v>
      </x:c>
    </x:row>
    <x:row r="37" ht="23" customHeight="1">
      <x:c r="B37" s="11" t="str">
        <x:v>P7</x:v>
      </x:c>
      <x:c r="C37" s="31" t="n">
        <x:f>IF(COUNT('Наблюдения'!B8:C8,'Наблюдения'!B2:C2)=4,SQRT(('Наблюдения'!B8-'Наблюдения'!B2)^2+('Наблюдения'!C8-'Наблюдения'!C2)^2),NA())</x:f>
        <x:v>9.848857801796104</x:v>
      </x:c>
      <x:c r="D37" s="31" t="n">
        <x:f>IF(COUNT('Наблюдения'!B8:C8,'Наблюдения'!B3:C3)=4,SQRT(('Наблюдения'!B8-'Наблюдения'!B3)^2+('Наблюдения'!C8-'Наблюдения'!C3)^2),NA())</x:f>
        <x:v>5</x:v>
      </x:c>
      <x:c r="E37" s="31" t="n">
        <x:f>IF(COUNT('Наблюдения'!B8:C8,'Наблюдения'!B4:C4)=4,SQRT(('Наблюдения'!B8-'Наблюдения'!B4)^2+('Наблюдения'!C8-'Наблюдения'!C4)^2),NA())</x:f>
        <x:v>12.806248474865697</x:v>
      </x:c>
      <x:c r="F37" s="31" t="n">
        <x:f>IF(COUNT('Наблюдения'!B8:C8,'Наблюдения'!B5:C5)=4,SQRT(('Наблюдения'!B8-'Наблюдения'!B5)^2+('Наблюдения'!C8-'Наблюдения'!C5)^2),NA())</x:f>
        <x:v>13.341664064126334</x:v>
      </x:c>
      <x:c r="G37" s="31" t="n">
        <x:f>IF(COUNT('Наблюдения'!B8:C8,'Наблюдения'!B6:C6)=4,SQRT(('Наблюдения'!B8-'Наблюдения'!B6)^2+('Наблюдения'!C8-'Наблюдения'!C6)^2),NA())</x:f>
        <x:v>7.211102550927978</x:v>
      </x:c>
      <x:c r="H37" s="31" t="n">
        <x:f>IF(COUNT('Наблюдения'!B8:C8,'Наблюдения'!B7:C7)=4,SQRT(('Наблюдения'!B8-'Наблюдения'!B7)^2+('Наблюдения'!C8-'Наблюдения'!C7)^2),NA())</x:f>
        <x:v>12.041594578792296</x:v>
      </x:c>
      <x:c r="I37" s="32" t="n">
        <x:f>IF(COUNT('Наблюдения'!B8:C8,'Наблюдения'!B8:C8)=4,SQRT(('Наблюдения'!B8-'Наблюдения'!B8)^2+('Наблюдения'!C8-'Наблюдения'!C8)^2),NA())</x:f>
        <x:v>0</x:v>
      </x:c>
      <x:c r="J37" s="31" t="n">
        <x:f>IF(COUNT('Наблюдения'!B8:C8,'Наблюдения'!B9:C9)=4,SQRT(('Наблюдения'!B8-'Наблюдения'!B9)^2+('Наблюдения'!C8-'Наблюдения'!C9)^2),NA())</x:f>
        <x:v>14.317821063276353</x:v>
      </x:c>
    </x:row>
    <x:row r="38" ht="23" customHeight="1">
      <x:c r="B38" s="27" t="str">
        <x:v>P8</x:v>
      </x:c>
      <x:c r="C38" s="35" t="n">
        <x:f>IF(COUNT('Наблюдения'!B9:C9,'Наблюдения'!B2:C2)=4,SQRT(('Наблюдения'!B9-'Наблюдения'!B2)^2+('Наблюдения'!C9-'Наблюдения'!C2)^2),NA())</x:f>
        <x:v>24.041630560342615</x:v>
      </x:c>
      <x:c r="D38" s="35" t="n">
        <x:f>IF(COUNT('Наблюдения'!B9:C9,'Наблюдения'!B3:C3)=4,SQRT(('Наблюдения'!B9-'Наблюдения'!B3)^2+('Наблюдения'!C9-'Наблюдения'!C3)^2),NA())</x:f>
        <x:v>11.045361017187261</x:v>
      </x:c>
      <x:c r="E38" s="35" t="n">
        <x:f>IF(COUNT('Наблюдения'!B9:C9,'Наблюдения'!B4:C4)=4,SQRT(('Наблюдения'!B9-'Наблюдения'!B4)^2+('Наблюдения'!C9-'Наблюдения'!C4)^2),NA())</x:f>
        <x:v>11.704699910719626</x:v>
      </x:c>
      <x:c r="F38" s="35" t="n">
        <x:f>IF(COUNT('Наблюдения'!B9:C9,'Наблюдения'!B5:C5)=4,SQRT(('Наблюдения'!B9-'Наблюдения'!B5)^2+('Наблюдения'!C9-'Наблюдения'!C5)^2),NA())</x:f>
        <x:v>23.345235059857504</x:v>
      </x:c>
      <x:c r="G38" s="35" t="n">
        <x:f>IF(COUNT('Наблюдения'!B9:C9,'Наблюдения'!B6:C6)=4,SQRT(('Наблюдения'!B9-'Наблюдения'!B6)^2+('Наблюдения'!C9-'Наблюдения'!C6)^2),NA())</x:f>
        <x:v>10.63014581273465</x:v>
      </x:c>
      <x:c r="H38" s="35" t="n">
        <x:f>IF(COUNT('Наблюдения'!B9:C9,'Наблюдения'!B7:C7)=4,SQRT(('Наблюдения'!B9-'Наблюдения'!B7)^2+('Наблюдения'!C9-'Наблюдения'!C7)^2),NA())</x:f>
        <x:v>23.53720459187964</x:v>
      </x:c>
      <x:c r="I38" s="35" t="n">
        <x:f>IF(COUNT('Наблюдения'!B9:C9,'Наблюдения'!B8:C8)=4,SQRT(('Наблюдения'!B9-'Наблюдения'!B8)^2+('Наблюдения'!C9-'Наблюдения'!C8)^2),NA())</x:f>
        <x:v>14.317821063276353</x:v>
      </x:c>
      <x:c r="J38" s="36" t="n">
        <x:f>IF(COUNT('Наблюдения'!B9:C9,'Наблюдения'!B9:C9)=4,SQRT(('Наблюдения'!B9-'Наблюдения'!B9)^2+('Наблюдения'!C9-'Наблюдения'!C9)^2),NA())</x:f>
        <x:v>0</x:v>
      </x:c>
    </x:row>
    <x:row r="39" ht="23" customHeight="1"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3" customHeight="1">
      <x:c r="B40" s="17" t="str">
        <x:v>Хэмминг: число несовпадающих координат, от 0 до 2.</x:v>
      </x:c>
      <x:c r="C40" s="17"/>
      <x:c r="D40" s="17"/>
      <x:c r="E40" s="17"/>
      <x:c r="F40" s="17"/>
      <x:c r="G40" s="17"/>
      <x:c r="H40" s="17"/>
      <x:c r="I40" s="17"/>
      <x:c r="J40" s="17"/>
    </x:row>
    <x:row r="41" ht="23" customHeight="1">
      <x:c r="B41" s="17" t="str">
        <x:v>Евклидовы расстояния отображаются с 4 знаками после запятой.</x:v>
      </x:c>
      <x:c r="C41" s="17"/>
      <x:c r="D41" s="17"/>
      <x:c r="E41" s="17"/>
      <x:c r="F41" s="17"/>
      <x:c r="G41" s="17"/>
      <x:c r="H41" s="17"/>
      <x:c r="I41" s="17"/>
      <x:c r="J41" s="17"/>
    </x:row>
    <x:row r="42" ht="23" customHeight="1">
      <x:c r="B42" s="17" t="str">
        <x:v>Формулы пересчитываются при изменении исходных данных.</x:v>
      </x:c>
      <x:c r="C42" s="17"/>
      <x:c r="D42" s="17"/>
      <x:c r="E42" s="17"/>
      <x:c r="F42" s="17"/>
      <x:c r="G42" s="17"/>
      <x:c r="H42" s="17"/>
      <x:c r="I42" s="17"/>
      <x:c r="J42" s="17"/>
    </x:row>
    <x:row r="43" ht="23" customHeight="1">
      <x:c r="B43" s="17" t="str">
        <x:v>При пропущенном или нечисловом признаке формула возвращает #N/A.</x:v>
      </x:c>
      <x:c r="C43" s="17"/>
      <x:c r="D43" s="17"/>
      <x:c r="E43" s="17"/>
      <x:c r="F43" s="17"/>
      <x:c r="G43" s="17"/>
      <x:c r="H43" s="17"/>
      <x:c r="I43" s="17"/>
      <x:c r="J43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B9DB0"/>
  </x:sheetPr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9" customHeight="1">
      <x:c r="A1" s="8" t="str">
        <x:v>Объект</x:v>
      </x:c>
      <x:c r="B1" s="9" t="str">
        <x:v>x1</x:v>
      </x:c>
      <x:c r="C1" s="9" t="str">
        <x:v>x2</x:v>
      </x:c>
      <x:c r="D1"/>
    </x:row>
    <x:row r="2" ht="25" customHeight="1">
      <x:c r="A2" s="11" t="str">
        <x:v>P1</x:v>
      </x:c>
      <x:c r="B2" s="14" t="n">
        <x:v>-8</x:v>
      </x:c>
      <x:c r="C2" s="14" t="n">
        <x:v>3</x:v>
      </x:c>
      <x:c r="D2"/>
    </x:row>
    <x:row r="3" ht="25" customHeight="1">
      <x:c r="A3" s="11" t="str">
        <x:v>P2</x:v>
      </x:c>
      <x:c r="B3" s="14" t="n">
        <x:v>4</x:v>
      </x:c>
      <x:c r="C3" s="14" t="n">
        <x:v>-5</x:v>
      </x:c>
      <x:c r="D3"/>
    </x:row>
    <x:row r="4" ht="25" customHeight="1">
      <x:c r="A4" s="11" t="str">
        <x:v>P3</x:v>
      </x:c>
      <x:c r="B4" s="14" t="n">
        <x:v>11</x:v>
      </x:c>
      <x:c r="C4" s="14" t="n">
        <x:v>7</x:v>
      </x:c>
      <x:c r="D4"/>
    </x:row>
    <x:row r="5" ht="25" customHeight="1">
      <x:c r="A5" s="11" t="str">
        <x:v>P4</x:v>
      </x:c>
      <x:c r="B5" s="14" t="n">
        <x:v>-2</x:v>
      </x:c>
      <x:c r="C5" s="14" t="n">
        <x:v>12</x:v>
      </x:c>
      <x:c r="D5"/>
    </x:row>
    <x:row r="6" ht="25" customHeight="1">
      <x:c r="A6" s="11" t="str">
        <x:v>P5</x:v>
      </x:c>
      <x:c r="B6" s="14" t="n">
        <x:v>7</x:v>
      </x:c>
      <x:c r="C6" s="14" t="n">
        <x:v>3</x:v>
      </x:c>
      <x:c r="D6"/>
    </x:row>
    <x:row r="7" ht="25" customHeight="1">
      <x:c r="A7" s="11" t="str">
        <x:v>P6</x:v>
      </x:c>
      <x:c r="B7" s="14" t="n">
        <x:v>-8</x:v>
      </x:c>
      <x:c r="C7" s="14" t="n">
        <x:v>-9</x:v>
      </x:c>
      <x:c r="D7"/>
    </x:row>
    <x:row r="8" ht="25" customHeight="1">
      <x:c r="A8" s="11" t="str">
        <x:v>P7</x:v>
      </x:c>
      <x:c r="B8" s="14" t="n">
        <x:v>1</x:v>
      </x:c>
      <x:c r="C8" s="14" t="n">
        <x:v>-1</x:v>
      </x:c>
      <x:c r="D8"/>
    </x:row>
    <x:row r="9" ht="25" customHeight="1">
      <x:c r="A9" s="15" t="str">
        <x:v>P8</x:v>
      </x:c>
      <x:c r="B9" s="16" t="n">
        <x:v>15</x:v>
      </x:c>
      <x:c r="C9" s="16" t="n">
        <x:v>-4</x:v>
      </x:c>
      <x:c r="D9"/>
    </x:row>
    <x:row r="10" ht="25" customHeight="1">
      <x:c r="A10" s="2"/>
      <x:c r="B10" s="2"/>
      <x:c r="C10" s="2"/>
      <x:c r="D10" s="2"/>
    </x:row>
    <x:row r="11" ht="25" customHeight="1">
      <x:c r="A11" s="17" t="str">
        <x:v>Жёлтые ячейки — исходные целочисленные признаки.</x:v>
      </x:c>
      <x:c r="B11" s="17"/>
      <x:c r="C11" s="17"/>
      <x:c r="D11" s="17"/>
    </x:row>
    <x:row r="12" ht="25" customHeight="1">
      <x:c r="A12" s="17" t="str">
        <x:v>Учебные данные составлены для этой работы.</x:v>
      </x:c>
      <x:c r="B12" s="17"/>
      <x:c r="C12" s="17"/>
      <x:c r="D12" s="17"/>
    </x:row>
    <x:row r="13" ht="25" customHeight="1">
      <x:c r="A13" s="17" t="str">
        <x:v>Теория: ИерархКласт для студ.docx, раздел 2.2.</x:v>
      </x:c>
      <x:c r="B13" s="17"/>
      <x:c r="C13" s="17"/>
      <x:c r="D13" s="17"/>
    </x:row>
    <x:row r="14" ht="25" customHeight="1">
      <x:c r="A14" s="17" t="str">
        <x:v>8 точек: x1 от −8 до 15, x2 от −9 до 12.</x:v>
      </x:c>
      <x:c r="B14" s="17"/>
      <x:c r="C14" s="17"/>
      <x:c r="D14" s="17"/>
    </x:row>
    <x:row r="15" ht="25" customHeight="1">
      <x:c r="A15" s="17" t="str">
        <x:v>Метки P1–P8 не участвуют в вычислении расстояний.</x:v>
      </x:c>
      <x:c r="B15" s="17"/>
      <x:c r="C15" s="17"/>
      <x:c r="D15" s="17"/>
    </x:row>
    <x:row r="16" ht="25" customHeight="1">
      <x:c r="A16" s="17" t="str">
        <x:v>Программа lab1.py читает две координаты из B2:C9.</x:v>
      </x:c>
      <x:c r="B16" s="17"/>
      <x:c r="C16" s="17"/>
      <x:c r="D16" s="17"/>
    </x:row>
  </x:sheetData>
  <x:pageMargins left="0.7" right="0.7" top="0.75" bottom="0.75" header="0.3" footer="0.3"/>
</x:worksheet>
</file>